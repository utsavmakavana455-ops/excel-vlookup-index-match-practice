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58B9CE5A-C78C-409E-9B3A-2418E49FD17A}" xr6:coauthVersionLast="47" xr6:coauthVersionMax="47" xr10:uidLastSave="{00000000-0000-0000-0000-000000000000}"/>
  <bookViews>
    <workbookView xWindow="-108" yWindow="-108" windowWidth="23256" windowHeight="12456" tabRatio="918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5" l="1"/>
  <c r="C18" i="5"/>
  <c r="C17" i="5"/>
  <c r="I5" i="3"/>
  <c r="I4" i="3"/>
  <c r="F3" i="6"/>
  <c r="F4" i="6"/>
  <c r="F5" i="6"/>
  <c r="F6" i="6"/>
  <c r="F7" i="6"/>
  <c r="F8" i="6"/>
  <c r="F9" i="6"/>
  <c r="F10" i="6"/>
  <c r="F11" i="6"/>
  <c r="F12" i="6"/>
  <c r="F13" i="6"/>
  <c r="F2" i="6"/>
  <c r="H3" i="2"/>
  <c r="H4" i="2"/>
  <c r="H5" i="2"/>
  <c r="H6" i="2"/>
</calcChain>
</file>

<file path=xl/sharedStrings.xml><?xml version="1.0" encoding="utf-8"?>
<sst xmlns="http://schemas.openxmlformats.org/spreadsheetml/2006/main" count="238" uniqueCount="118">
  <si>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</si>
  <si>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</si>
  <si>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</si>
  <si>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</si>
  <si>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</si>
  <si>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</si>
  <si>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</si>
  <si>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</si>
  <si>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</si>
  <si>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</si>
  <si>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</si>
  <si>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</si>
  <si>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</si>
  <si>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</si>
  <si>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</si>
  <si>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</si>
  <si>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</si>
  <si>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</si>
  <si>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</si>
  <si>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</si>
  <si>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</si>
  <si>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</si>
  <si>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</si>
  <si>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</si>
  <si>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</si>
  <si>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</si>
  <si>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</si>
  <si>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</si>
  <si>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</si>
  <si>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</si>
  <si>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</si>
  <si>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</si>
  <si>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</si>
  <si>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</si>
  <si>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</si>
  <si>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</si>
  <si>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</si>
  <si>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</si>
  <si>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</si>
  <si>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</si>
  <si>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</si>
  <si>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</si>
  <si>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</si>
  <si>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</si>
  <si>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</si>
  <si>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</si>
  <si>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</si>
  <si>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</si>
  <si>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</si>
  <si>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</si>
  <si>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</si>
  <si>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</si>
  <si>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</si>
  <si>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</si>
  <si>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</si>
  <si>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</si>
  <si>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</si>
  <si>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</si>
  <si>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</si>
  <si>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</si>
  <si>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</si>
  <si>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</si>
  <si>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</si>
  <si>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</si>
  <si>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</si>
  <si>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</si>
  <si>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</si>
  <si>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</si>
  <si>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</si>
  <si>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</si>
  <si>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</si>
  <si>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</si>
  <si>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</si>
  <si>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</si>
  <si>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</si>
  <si>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</si>
  <si>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</si>
  <si>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</si>
  <si>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</si>
  <si>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</si>
  <si>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</si>
  <si>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</si>
  <si>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</si>
  <si>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</si>
  <si>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</si>
  <si>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</si>
  <si>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</si>
  <si>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</si>
  <si>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</si>
  <si>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</si>
  <si>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</si>
  <si>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</si>
  <si>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</si>
  <si>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</si>
  <si>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</si>
  <si>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</si>
  <si>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</si>
  <si>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</si>
  <si>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</si>
  <si>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</si>
  <si>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</si>
  <si>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</si>
  <si>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</si>
  <si>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</si>
  <si>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</si>
  <si>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</si>
  <si>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</si>
  <si>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</si>
  <si>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</si>
  <si>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</si>
  <si>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</si>
  <si>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</si>
  <si>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</si>
  <si>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emp005</t>
  </si>
  <si>
    <t>emp_type</t>
  </si>
  <si>
    <t>Greater than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</si>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</sst>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H13"/>
  <sheetViews>
    <sheetView tabSelected="1" zoomScale="145" zoomScaleNormal="145" workbookViewId="0">
      <selection activeCell="H3" sqref="H3"/>
    </sheetView>
  </sheetViews>
  <sheetFormatPr defaultRowHeight="13.8"/>
  <cols>
    <col min="1" max="1" width="11.796875" bestFit="1" customWidth="1"/>
    <col min="2" max="2" width="12.19921875" bestFit="1" customWidth="1"/>
    <col min="3" max="3" width="12.796875" customWidth="1"/>
    <col min="4" max="4" width="13.296875" customWidth="1"/>
    <col min="5" max="5" width="13.59765625" customWidth="1"/>
    <col min="7" max="7" width="12.796875" customWidth="1"/>
    <col min="8" max="8" width="14.3984375" customWidth="1"/>
  </cols>
  <sheetData>
    <row r="1" spans="1:8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8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6" t="s">
        <v>30</v>
      </c>
      <c r="H2" t="s">
        <v>113</v>
      </c>
    </row>
    <row r="3" spans="1:8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6" t="s">
        <v>29</v>
      </c>
      <c r="H3" t="str">
        <f>VLOOKUP($H$2,$A$1:$E$13,ROW()-1,0)</f>
        <v>Employee_5</v>
      </c>
    </row>
    <row r="4" spans="1:8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6" t="s">
        <v>28</v>
      </c>
      <c r="H4" t="str">
        <f>VLOOKUP($H$2,$A$1:$E$13,ROW()-1,0)</f>
        <v>Operations</v>
      </c>
    </row>
    <row r="5" spans="1:8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5" t="s">
        <v>27</v>
      </c>
      <c r="H5">
        <f t="shared" ref="H5:H6" si="0">VLOOKUP($H$2,$A$1:$E$13,ROW()-1,0)</f>
        <v>90652</v>
      </c>
    </row>
    <row r="6" spans="1:8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G6" s="4" t="s">
        <v>26</v>
      </c>
      <c r="H6" s="8">
        <f t="shared" si="0"/>
        <v>43835</v>
      </c>
    </row>
    <row r="7" spans="1:8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8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8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8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8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8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8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09" zoomScaleNormal="145" workbookViewId="0">
      <selection activeCell="F6" sqref="F6"/>
    </sheetView>
  </sheetViews>
  <sheetFormatPr defaultRowHeight="13.8"/>
  <cols>
    <col min="1" max="1" width="11.796875" bestFit="1" customWidth="1"/>
    <col min="2" max="2" width="12.19921875" bestFit="1" customWidth="1"/>
    <col min="3" max="3" width="12.796875" customWidth="1"/>
    <col min="4" max="4" width="13.296875" customWidth="1"/>
    <col min="5" max="5" width="13.59765625" customWidth="1"/>
    <col min="6" max="6" width="15.796875" customWidth="1"/>
    <col min="7" max="7" width="27.3984375" customWidth="1"/>
    <col min="8" max="8" width="11.09765625" bestFit="1" customWidth="1"/>
    <col min="9" max="9" width="11.09765625" customWidth="1"/>
  </cols>
  <sheetData>
    <row r="1" spans="1:9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114</v>
      </c>
      <c r="H1" t="s">
        <v>115</v>
      </c>
    </row>
    <row r="2" spans="1:9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 t="shared" ref="F2:F13" si="0">VLOOKUP(D2,Emp_Type,2,1)</f>
        <v>Grade5</v>
      </c>
      <c r="H2" t="s">
        <v>27</v>
      </c>
      <c r="I2" t="s">
        <v>112</v>
      </c>
    </row>
    <row r="3" spans="1:9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 t="shared" si="0"/>
        <v>Grade4</v>
      </c>
      <c r="H3">
        <v>15000</v>
      </c>
      <c r="I3" t="s">
        <v>106</v>
      </c>
    </row>
    <row r="4" spans="1:9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 t="shared" si="0"/>
        <v>Grade1</v>
      </c>
      <c r="H4">
        <v>30000</v>
      </c>
      <c r="I4" t="s">
        <v>107</v>
      </c>
    </row>
    <row r="5" spans="1:9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 t="shared" si="0"/>
        <v>Grade3</v>
      </c>
      <c r="H5">
        <v>45000</v>
      </c>
      <c r="I5" t="s">
        <v>108</v>
      </c>
    </row>
    <row r="6" spans="1:9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 t="shared" si="0"/>
        <v>Grade1</v>
      </c>
      <c r="H6">
        <v>60000</v>
      </c>
      <c r="I6" t="s">
        <v>109</v>
      </c>
    </row>
    <row r="7" spans="1:9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 t="shared" si="0"/>
        <v>Grade3</v>
      </c>
      <c r="H7">
        <v>75000</v>
      </c>
      <c r="I7" t="s">
        <v>110</v>
      </c>
    </row>
    <row r="8" spans="1:9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 t="shared" si="0"/>
        <v>Grade2</v>
      </c>
      <c r="H8">
        <v>90000</v>
      </c>
      <c r="I8" t="s">
        <v>111</v>
      </c>
    </row>
    <row r="9" spans="1:9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 t="shared" si="0"/>
        <v>Grade5</v>
      </c>
    </row>
    <row r="10" spans="1:9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 t="shared" si="0"/>
        <v>Grade4</v>
      </c>
    </row>
    <row r="11" spans="1:9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 t="shared" si="0"/>
        <v>Grade5</v>
      </c>
    </row>
    <row r="12" spans="1:9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 t="shared" si="0"/>
        <v>Grade1</v>
      </c>
    </row>
    <row r="13" spans="1:9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 t="shared" si="0"/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I4" sqref="I4"/>
    </sheetView>
  </sheetViews>
  <sheetFormatPr defaultRowHeight="13.8"/>
  <cols>
    <col min="1" max="1" width="11.796875" bestFit="1" customWidth="1"/>
    <col min="2" max="2" width="12.19921875" bestFit="1" customWidth="1"/>
    <col min="3" max="3" width="12.796875" customWidth="1"/>
    <col min="4" max="4" width="13.296875" customWidth="1"/>
    <col min="5" max="5" width="13.59765625" customWidth="1"/>
    <col min="8" max="8" width="17.09765625" customWidth="1"/>
    <col min="9" max="9" width="16.69921875" customWidth="1"/>
  </cols>
  <sheetData>
    <row r="1" spans="1:9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25</v>
      </c>
    </row>
    <row r="4" spans="1:9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29</v>
      </c>
      <c r="I4" t="str">
        <f>VLOOKUP($I$3,$A$1:$E$13,MATCH(H4,$A$1:$E$1,0),0)</f>
        <v>Employee_1</v>
      </c>
    </row>
    <row r="5" spans="1:9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28</v>
      </c>
      <c r="I5" t="str">
        <f>VLOOKUP($I$3,$A$1:$E$13,MATCH(H5,$A$1:$E$1,0),0)</f>
        <v>Finance</v>
      </c>
    </row>
    <row r="6" spans="1:9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zoomScaleNormal="100" workbookViewId="0">
      <selection activeCell="C14" sqref="C14"/>
    </sheetView>
  </sheetViews>
  <sheetFormatPr defaultRowHeight="13.8"/>
  <cols>
    <col min="1" max="1" width="16.296875" bestFit="1" customWidth="1"/>
    <col min="2" max="2" width="27.3984375" bestFit="1" customWidth="1"/>
    <col min="3" max="3" width="28.296875" bestFit="1" customWidth="1"/>
    <col min="4" max="4" width="26.69921875" bestFit="1" customWidth="1"/>
    <col min="5" max="5" width="28.796875" bestFit="1" customWidth="1"/>
    <col min="6" max="6" width="26" bestFit="1" customWidth="1"/>
    <col min="7" max="7" width="25.8984375" bestFit="1" customWidth="1"/>
    <col min="8" max="8" width="27.09765625" bestFit="1" customWidth="1"/>
    <col min="9" max="9" width="26.3984375" bestFit="1" customWidth="1"/>
    <col min="10" max="10" width="27.3984375" bestFit="1" customWidth="1"/>
  </cols>
  <sheetData>
    <row r="1" spans="1:10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>
      <c r="B13" s="11" t="s">
        <v>105</v>
      </c>
      <c r="C13" s="12" t="s">
        <v>101</v>
      </c>
    </row>
    <row r="14" spans="1:10" ht="21.6" customHeight="1">
      <c r="B14" s="12" t="s">
        <v>87</v>
      </c>
      <c r="C14" s="13" t="str">
        <f>INDEX(A1:J9,MATCH(B14,A1:A9,0),MATCH(C13,A1:J1,0))</f>
        <v>Science (Ms. Davis)</v>
      </c>
    </row>
    <row r="17" spans="2:3">
      <c r="B17" t="s">
        <v>116</v>
      </c>
      <c r="C17" s="9">
        <f>MATCH(B14,A1:A9,0)</f>
        <v>3</v>
      </c>
    </row>
    <row r="18" spans="2:3">
      <c r="B18" t="s">
        <v>117</v>
      </c>
      <c r="C18" s="9">
        <f>MATCH(C13,A1:J1,0)</f>
        <v>5</v>
      </c>
    </row>
  </sheetData>
  <dataValidations count="2">
    <dataValidation type="list" allowBlank="1" showInputMessage="1" showErrorMessage="1" sqref="B14" xr:uid="{AC247D87-B494-4E93-BCAF-1F72631F5389}">
      <formula1>$A$1:$A$9</formula1>
    </dataValidation>
    <dataValidation type="list" allowBlank="1" showInputMessage="1" showErrorMessage="1" sqref="C13" xr:uid="{BA192073-661A-4DFE-A651-747B27A06F2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UTSAV MAKAVANA</cp:lastModifiedBy>
  <dcterms:created xsi:type="dcterms:W3CDTF">2024-12-17T10:15:43Z</dcterms:created>
  <dcterms:modified xsi:type="dcterms:W3CDTF">2026-09-07T19:49:03Z</dcterms:modified>
</cp:coreProperties>
</file>